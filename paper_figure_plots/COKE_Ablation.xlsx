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j/Research/HybridLT-ver2.2/paper_figure_plots/"/>
    </mc:Choice>
  </mc:AlternateContent>
  <xr:revisionPtr revIDLastSave="0" documentId="13_ncr:1_{E213603B-25FC-5845-A060-7302850F7D49}" xr6:coauthVersionLast="47" xr6:coauthVersionMax="47" xr10:uidLastSave="{00000000-0000-0000-0000-000000000000}"/>
  <bookViews>
    <workbookView xWindow="38400" yWindow="500" windowWidth="38400" windowHeight="21100" activeTab="8" xr2:uid="{5F1883CE-634C-2540-9258-A6BC21DCABF0}"/>
  </bookViews>
  <sheets>
    <sheet name="heart-small" sheetId="1" r:id="rId1"/>
    <sheet name="heart-full" sheetId="2" r:id="rId2"/>
    <sheet name="stroke-small" sheetId="3" r:id="rId3"/>
    <sheet name="stroke-full" sheetId="4" r:id="rId4"/>
    <sheet name="breast-small" sheetId="5" r:id="rId5"/>
    <sheet name="breast-full" sheetId="6" r:id="rId6"/>
    <sheet name="wgs-small" sheetId="7" r:id="rId7"/>
    <sheet name="wgs-medium" sheetId="8" r:id="rId8"/>
    <sheet name="wgs-ful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4" i="8"/>
  <c r="B4" i="7"/>
  <c r="B3" i="7"/>
  <c r="B3" i="8"/>
  <c r="B3" i="9"/>
  <c r="B2" i="9"/>
  <c r="B2" i="8"/>
  <c r="B2" i="7"/>
  <c r="B5" i="6"/>
  <c r="B4" i="6"/>
  <c r="B3" i="6"/>
  <c r="B2" i="6"/>
  <c r="B5" i="5"/>
  <c r="B4" i="5"/>
  <c r="B3" i="5"/>
  <c r="B2" i="5"/>
  <c r="B5" i="4"/>
  <c r="B4" i="4"/>
  <c r="B3" i="4"/>
  <c r="B2" i="4"/>
  <c r="B5" i="3"/>
  <c r="B4" i="3"/>
  <c r="B3" i="3"/>
  <c r="B2" i="3"/>
  <c r="B5" i="2"/>
  <c r="B4" i="2"/>
  <c r="B3" i="2"/>
  <c r="B2" i="2"/>
  <c r="B2" i="1"/>
  <c r="B3" i="1"/>
  <c r="B4" i="1"/>
  <c r="B5" i="1"/>
</calcChain>
</file>

<file path=xl/sharedStrings.xml><?xml version="1.0" encoding="utf-8"?>
<sst xmlns="http://schemas.openxmlformats.org/spreadsheetml/2006/main" count="54" uniqueCount="6">
  <si>
    <t>Method</t>
  </si>
  <si>
    <t>AUC</t>
  </si>
  <si>
    <t>w/o Augmentation</t>
  </si>
  <si>
    <t>w/o Contrastive</t>
  </si>
  <si>
    <t>w/o Mixer</t>
  </si>
  <si>
    <t>Full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</si>
</sst>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FAC9-5268-8A48-BA0F-FAEAE17F52DC}">
  <dimension ref="A1:H6"/>
  <sheetViews>
    <sheetView workbookViewId="0">
      <selection activeCell="A2" sqref="A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</row>
    <row r="2" spans="1:8" x14ac:dyDescent="0.2">
      <c r="A2" t="s">
        <v>5</v>
      </c>
      <c r="B2">
        <f>AVERAGE(0.9265,0.9162)</f>
        <v>0.92135</v>
      </c>
    </row>
    <row r="3" spans="1:8" x14ac:dyDescent="0.2">
      <c r="A3" t="s">
        <v>2</v>
      </c>
      <c r="B3">
        <f>AVERAGE(0.9219,0.9088)</f>
        <v>0.91535000000000011</v>
      </c>
    </row>
    <row r="4" spans="1:8" x14ac:dyDescent="0.2">
      <c r="A4" t="s">
        <v>3</v>
      </c>
      <c r="B4">
        <f>AVERAGE(0.9211,0.9103)</f>
        <v>0.91569999999999996</v>
      </c>
    </row>
    <row r="5" spans="1:8" x14ac:dyDescent="0.2">
      <c r="A5" t="s">
        <v>4</v>
      </c>
      <c r="B5">
        <f>AVERAGE(0.9255,0.9131)</f>
        <v>0.91930000000000001</v>
      </c>
    </row>
    <row r="6" spans="1:8" x14ac:dyDescent="0.2">
      <c r="C6" s="1"/>
      <c r="D6" s="2"/>
      <c r="E6" s="2"/>
      <c r="F6" s="1"/>
      <c r="G6" s="2"/>
      <c r="H6" s="2"/>
    </row>
  </sheetData>
  <mergeCells count="2">
    <mergeCell ref="D6:E6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4517-4ACF-5341-B16B-F9BDCFF500AB}">
  <dimension ref="A1:B5"/>
  <sheetViews>
    <sheetView workbookViewId="0">
      <selection activeCell="C13" sqref="C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AVERAGE(0.9348,0.9189)</f>
        <v>0.92684999999999995</v>
      </c>
    </row>
    <row r="3" spans="1:2" x14ac:dyDescent="0.2">
      <c r="A3" t="s">
        <v>2</v>
      </c>
      <c r="B3">
        <f>AVERAGE(0.932,0.9161)</f>
        <v>0.92405000000000004</v>
      </c>
    </row>
    <row r="4" spans="1:2" x14ac:dyDescent="0.2">
      <c r="A4" t="s">
        <v>3</v>
      </c>
      <c r="B4">
        <f>AVERAGE(0.9313,0.9119)</f>
        <v>0.92159999999999997</v>
      </c>
    </row>
    <row r="5" spans="1:2" x14ac:dyDescent="0.2">
      <c r="A5" t="s">
        <v>4</v>
      </c>
      <c r="B5">
        <f>AVERAGE(0.9327,0.9124)</f>
        <v>0.92254999999999998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684A-F62B-834B-B0E1-926BEA7BB0DF}">
  <dimension ref="A1:B5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AVERAGE(0.7875,0.8013)</f>
        <v>0.7944</v>
      </c>
    </row>
    <row r="3" spans="1:2" x14ac:dyDescent="0.2">
      <c r="A3" t="s">
        <v>2</v>
      </c>
      <c r="B3">
        <f>AVERAGE(0.7851,0.7888)</f>
        <v>0.78695000000000004</v>
      </c>
    </row>
    <row r="4" spans="1:2" x14ac:dyDescent="0.2">
      <c r="A4" t="s">
        <v>3</v>
      </c>
      <c r="B4">
        <f>AVERAGE(0.7487,0.7986)</f>
        <v>0.77364999999999995</v>
      </c>
    </row>
    <row r="5" spans="1:2" x14ac:dyDescent="0.2">
      <c r="A5" t="s">
        <v>4</v>
      </c>
      <c r="B5">
        <f>AVERAGE(0.779,0.7403)</f>
        <v>0.75964999999999994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E994-1981-8041-BD79-E6A63FCCAA48}">
  <dimension ref="A1:B5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AVERAGE(0.8582,0.8124)</f>
        <v>0.83529999999999993</v>
      </c>
    </row>
    <row r="3" spans="1:2" x14ac:dyDescent="0.2">
      <c r="A3" t="s">
        <v>2</v>
      </c>
      <c r="B3">
        <f>AVERAGE(0.8551,0.8145)</f>
        <v>0.83479999999999999</v>
      </c>
    </row>
    <row r="4" spans="1:2" x14ac:dyDescent="0.2">
      <c r="A4" t="s">
        <v>3</v>
      </c>
      <c r="B4">
        <f>AVERAGE(0.8506,0.8108)</f>
        <v>0.83069999999999999</v>
      </c>
    </row>
    <row r="5" spans="1:2" x14ac:dyDescent="0.2">
      <c r="A5" t="s">
        <v>4</v>
      </c>
      <c r="B5">
        <f>AVERAGE(0.853,0.7993)</f>
        <v>0.82614999999999994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8DA9-6F2A-DE4D-AC7B-019870FB8568}">
  <dimension ref="A1:B5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AVERAGE(0.6564,0.6653)</f>
        <v>0.66084999999999994</v>
      </c>
    </row>
    <row r="3" spans="1:2" x14ac:dyDescent="0.2">
      <c r="A3" t="s">
        <v>2</v>
      </c>
      <c r="B3">
        <f>AVERAGE(0.6576,0.65)</f>
        <v>0.65379999999999994</v>
      </c>
    </row>
    <row r="4" spans="1:2" x14ac:dyDescent="0.2">
      <c r="A4" t="s">
        <v>3</v>
      </c>
      <c r="B4">
        <f>AVERAGE(0.6512,0.6573)</f>
        <v>0.65425</v>
      </c>
    </row>
    <row r="5" spans="1:2" x14ac:dyDescent="0.2">
      <c r="A5" t="s">
        <v>4</v>
      </c>
      <c r="B5">
        <f>AVERAGE(0.6589,0.6352)</f>
        <v>0.64705000000000001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23DC-6D92-9349-AB1A-45FEEAB813FE}">
  <dimension ref="A1:B5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AVERAGE(0.686,0.6949)</f>
        <v>0.69045000000000001</v>
      </c>
    </row>
    <row r="3" spans="1:2" x14ac:dyDescent="0.2">
      <c r="A3" t="s">
        <v>2</v>
      </c>
      <c r="B3">
        <f>AVERAGE(0.6848,0.686)</f>
        <v>0.68540000000000001</v>
      </c>
    </row>
    <row r="4" spans="1:2" x14ac:dyDescent="0.2">
      <c r="A4" t="s">
        <v>3</v>
      </c>
      <c r="B4">
        <f>AVERAGE(0.6726,0.6763)</f>
        <v>0.67444999999999999</v>
      </c>
    </row>
    <row r="5" spans="1:2" x14ac:dyDescent="0.2">
      <c r="A5" t="s">
        <v>4</v>
      </c>
      <c r="B5">
        <f>AVERAGE(0.6708,0.6556)</f>
        <v>0.66320000000000001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574F-76E4-CE4B-ADB3-2C2F35A22D12}">
  <dimension ref="A1:B5"/>
  <sheetViews>
    <sheetView workbookViewId="0">
      <selection activeCell="A2" sqref="A2"/>
    </sheetView>
  </sheetViews>
  <sheetFormatPr baseColWidth="10" defaultRowHeight="16" x14ac:dyDescent="0.2"/>
  <cols>
    <col min="1" max="1" width="17.6640625" customWidth="1"/>
    <col min="2" max="2" width="17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AVERAGE(0.5673, 0.5223)</f>
        <v>0.54479999999999995</v>
      </c>
    </row>
    <row r="3" spans="1:2" x14ac:dyDescent="0.2">
      <c r="A3" t="s">
        <v>2</v>
      </c>
      <c r="B3">
        <f>AVERAGE(0.5912, 0.4739)</f>
        <v>0.53254999999999997</v>
      </c>
    </row>
    <row r="4" spans="1:2" x14ac:dyDescent="0.2">
      <c r="A4" t="s">
        <v>3</v>
      </c>
      <c r="B4">
        <f>AVERAGE(0.5787, 0.5071)</f>
        <v>0.54289999999999994</v>
      </c>
    </row>
    <row r="5" spans="1:2" x14ac:dyDescent="0.2">
      <c r="A5" t="s">
        <v>4</v>
      </c>
      <c r="B5">
        <v>0.53580000000000005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2240-1002-054A-A14E-7B089F18D74E}">
  <dimension ref="A1:B5"/>
  <sheetViews>
    <sheetView workbookViewId="0">
      <selection activeCell="A2" sqref="A2"/>
    </sheetView>
  </sheetViews>
  <sheetFormatPr baseColWidth="10" defaultRowHeight="16" x14ac:dyDescent="0.2"/>
  <cols>
    <col min="1" max="1" width="21.6640625" customWidth="1"/>
    <col min="2" max="2" width="20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AVERAGE(0.5864, 0.51)</f>
        <v>0.54820000000000002</v>
      </c>
    </row>
    <row r="3" spans="1:2" x14ac:dyDescent="0.2">
      <c r="A3" t="s">
        <v>2</v>
      </c>
      <c r="B3">
        <f>AVERAGE(0.5912, 0.4848)</f>
        <v>0.53800000000000003</v>
      </c>
    </row>
    <row r="4" spans="1:2" x14ac:dyDescent="0.2">
      <c r="A4" t="s">
        <v>3</v>
      </c>
      <c r="B4">
        <f>AVERAGE(0.5886,0.5029)</f>
        <v>0.54574999999999996</v>
      </c>
    </row>
    <row r="5" spans="1:2" x14ac:dyDescent="0.2">
      <c r="A5" t="s">
        <v>4</v>
      </c>
      <c r="B5">
        <v>0.54769999999999996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A36F-848C-464B-A072-82D985ABB88C}">
  <dimension ref="A1:B5"/>
  <sheetViews>
    <sheetView tabSelected="1" workbookViewId="0">
      <selection activeCell="A2" sqref="A2"/>
    </sheetView>
  </sheetViews>
  <sheetFormatPr baseColWidth="10" defaultRowHeight="16" x14ac:dyDescent="0.2"/>
  <cols>
    <col min="1" max="1" width="25.1640625" customWidth="1"/>
    <col min="2" max="2" width="22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f>AVERAGE(0.617, 0.6067)</f>
        <v>0.61185</v>
      </c>
    </row>
    <row r="3" spans="1:2" x14ac:dyDescent="0.2">
      <c r="A3" t="s">
        <v>2</v>
      </c>
      <c r="B3">
        <f>AVERAGE(0.6074, 0.5835)</f>
        <v>0.59545000000000003</v>
      </c>
    </row>
    <row r="4" spans="1:2" x14ac:dyDescent="0.2">
      <c r="A4" t="s">
        <v>3</v>
      </c>
      <c r="B4">
        <f>AVERAGE(0.6202,0.5248)</f>
        <v>0.57250000000000001</v>
      </c>
    </row>
    <row r="5" spans="1:2" x14ac:dyDescent="0.2">
      <c r="A5" t="s">
        <v>4</v>
      </c>
      <c r="B5">
        <v>0.59670000000000001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heart-small</vt:lpstr>
      <vt:lpstr>heart-full</vt:lpstr>
      <vt:lpstr>stroke-small</vt:lpstr>
      <vt:lpstr>stroke-full</vt:lpstr>
      <vt:lpstr>breast-small</vt:lpstr>
      <vt:lpstr>breast-full</vt:lpstr>
      <vt:lpstr>wgs-small</vt:lpstr>
      <vt:lpstr>wgs-medium</vt:lpstr>
      <vt:lpstr>wgs-full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2023-07-10T14:55:38Z</dcterms:created>
  <dcterms:modified xsi:type="dcterms:W3CDTF">2023-09-14T12:21:16Z</dcterms:modified>
</cp:coreProperties>
</file>