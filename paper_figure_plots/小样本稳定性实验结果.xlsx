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j/Research/HybridLT-ver2.2/paper_figure_plots/"/>
    </mc:Choice>
  </mc:AlternateContent>
  <xr:revisionPtr revIDLastSave="0" documentId="13_ncr:1_{6DC342A9-781E-D848-B01A-3189B43D2874}" xr6:coauthVersionLast="47" xr6:coauthVersionMax="47" xr10:uidLastSave="{00000000-0000-0000-0000-000000000000}"/>
  <bookViews>
    <workbookView xWindow="38400" yWindow="500" windowWidth="21600" windowHeight="37900" activeTab="2" xr2:uid="{DBEA60E8-4FBA-BD4A-9E57-CD7EF86F7B4E}"/>
  </bookViews>
  <sheets>
    <sheet name="Sheet1" sheetId="1" r:id="rId1"/>
    <sheet name="Sheet2" sheetId="2" r:id="rId2"/>
    <sheet name="Fig2补充MIMIC和Framingh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  <c r="I7" i="3"/>
  <c r="H7" i="3"/>
  <c r="G7" i="3"/>
  <c r="F7" i="3"/>
  <c r="I8" i="3"/>
  <c r="H8" i="3"/>
  <c r="G8" i="3"/>
  <c r="F8" i="3"/>
  <c r="E8" i="3"/>
  <c r="D8" i="3"/>
  <c r="C8" i="3"/>
  <c r="B8" i="3"/>
  <c r="I6" i="3"/>
  <c r="I5" i="3"/>
  <c r="I4" i="3"/>
  <c r="H6" i="3"/>
  <c r="H5" i="3"/>
  <c r="H4" i="3"/>
  <c r="G6" i="3"/>
  <c r="G5" i="3"/>
  <c r="G4" i="3"/>
  <c r="F6" i="3"/>
  <c r="F5" i="3"/>
  <c r="F4" i="3"/>
  <c r="E6" i="3"/>
  <c r="E5" i="3"/>
  <c r="E4" i="3"/>
  <c r="D6" i="3"/>
  <c r="D5" i="3"/>
  <c r="D4" i="3"/>
  <c r="C6" i="3"/>
  <c r="C5" i="3"/>
  <c r="C4" i="3"/>
  <c r="B6" i="3"/>
  <c r="B5" i="3"/>
  <c r="B4" i="3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H2" i="2"/>
  <c r="F2" i="2"/>
  <c r="D2" i="2"/>
  <c r="B2" i="2"/>
  <c r="O6" i="1"/>
  <c r="O4" i="1"/>
  <c r="O3" i="1"/>
  <c r="O2" i="1"/>
  <c r="M6" i="1"/>
  <c r="M4" i="1"/>
  <c r="M3" i="1"/>
  <c r="M2" i="1"/>
  <c r="K6" i="1"/>
  <c r="K4" i="1"/>
  <c r="K3" i="1"/>
  <c r="K2" i="1"/>
  <c r="I6" i="1"/>
  <c r="I4" i="1"/>
  <c r="I3" i="1"/>
  <c r="I2" i="1"/>
  <c r="G6" i="1"/>
  <c r="G4" i="1"/>
  <c r="G3" i="1"/>
  <c r="G2" i="1"/>
  <c r="E6" i="1"/>
  <c r="E4" i="1"/>
  <c r="C6" i="1"/>
  <c r="C4" i="1"/>
  <c r="C3" i="1"/>
  <c r="B3" i="1"/>
  <c r="C2" i="1"/>
  <c r="N6" i="1"/>
  <c r="E3" i="1"/>
  <c r="E2" i="1"/>
  <c r="L6" i="1"/>
  <c r="B2" i="1"/>
  <c r="J6" i="1"/>
  <c r="H6" i="1"/>
  <c r="F6" i="1"/>
  <c r="D6" i="1"/>
  <c r="B6" i="1"/>
  <c r="N4" i="1"/>
  <c r="N3" i="1"/>
  <c r="N2" i="1"/>
  <c r="L3" i="1"/>
  <c r="L4" i="1"/>
  <c r="L2" i="1"/>
  <c r="J4" i="1"/>
  <c r="J3" i="1"/>
  <c r="J2" i="1"/>
  <c r="H4" i="1"/>
  <c r="H3" i="1"/>
  <c r="H2" i="1"/>
  <c r="F4" i="1"/>
  <c r="F3" i="1"/>
  <c r="F2" i="1"/>
  <c r="D4" i="1"/>
  <c r="D3" i="1"/>
  <c r="D2" i="1"/>
  <c r="B4" i="1"/>
</calcChain>
</file>

<file path=xl/sharedStrings.xml><?xml version="1.0" encoding="utf-8"?>
<sst xmlns="http://schemas.openxmlformats.org/spreadsheetml/2006/main" count="39" uniqueCount="28">
  <si>
    <t>WGS (10%-30%)</t>
  </si>
  <si>
    <t>WGS (20%-30%)</t>
  </si>
  <si>
    <t>WGS (30%-30%)</t>
  </si>
  <si>
    <t>WGS (40%-30%)</t>
  </si>
  <si>
    <t>WGS (50%-30%)</t>
  </si>
  <si>
    <t>WGS (60%-30%)</t>
  </si>
  <si>
    <t>WGS (70%-30%)</t>
  </si>
  <si>
    <t>LR</t>
  </si>
  <si>
    <t>RF</t>
  </si>
  <si>
    <t>SVM</t>
  </si>
  <si>
    <t>SNN</t>
  </si>
  <si>
    <t>Ours</t>
  </si>
  <si>
    <t>10%-30%</t>
  </si>
  <si>
    <t>70%-30%</t>
  </si>
  <si>
    <t>50%-30%</t>
  </si>
  <si>
    <t>30%-30%</t>
  </si>
  <si>
    <t>WGS</t>
  </si>
  <si>
    <t>Framingham</t>
  </si>
  <si>
    <t>Heart</t>
  </si>
  <si>
    <t>Stroke</t>
  </si>
  <si>
    <t>Breast</t>
  </si>
  <si>
    <t>MIMIC (S)</t>
  </si>
  <si>
    <t>MIMIC (F)</t>
  </si>
  <si>
    <t>Fram. (S)</t>
  </si>
  <si>
    <t>Fram. (F)</t>
  </si>
  <si>
    <t>Small: 30%-30%; Full: 70%-30%</t>
  </si>
  <si>
    <t>AUC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</si>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</sst>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B3A2-C513-554E-9EFF-A0D6B7BDFBB0}">
  <dimension ref="A1:O6"/>
  <sheetViews>
    <sheetView workbookViewId="0">
      <selection activeCell="A2" sqref="A2:A6"/>
    </sheetView>
  </sheetViews>
  <sheetFormatPr baseColWidth="10" defaultRowHeight="16" x14ac:dyDescent="0.2"/>
  <cols>
    <col min="2" max="3" width="16.1640625" customWidth="1"/>
    <col min="4" max="5" width="16.33203125" customWidth="1"/>
    <col min="6" max="7" width="16" customWidth="1"/>
    <col min="8" max="9" width="15.6640625" customWidth="1"/>
    <col min="10" max="11" width="16.1640625" customWidth="1"/>
    <col min="12" max="13" width="16.6640625" customWidth="1"/>
    <col min="14" max="14" width="17.1640625" customWidth="1"/>
  </cols>
  <sheetData>
    <row r="1" spans="1:15" x14ac:dyDescent="0.2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2" t="s">
        <v>5</v>
      </c>
      <c r="M1" s="2"/>
      <c r="N1" s="2" t="s">
        <v>6</v>
      </c>
    </row>
    <row r="2" spans="1:15" x14ac:dyDescent="0.2">
      <c r="A2" s="1" t="s">
        <v>7</v>
      </c>
      <c r="B2">
        <f>AVERAGE(0.57,0.497,0.57)</f>
        <v>0.54566666666666663</v>
      </c>
      <c r="C2">
        <f>STDEV(0.57,0.497,0.57)</f>
        <v>4.2146569650842652E-2</v>
      </c>
      <c r="D2">
        <f>AVERAGE(0.58,0.48,0.62)</f>
        <v>0.56000000000000005</v>
      </c>
      <c r="E2">
        <f>STDEV(0.58,0.48,0.62)</f>
        <v>7.2111025509279281E-2</v>
      </c>
      <c r="F2">
        <f>AVERAGE(0.56,0.49,0.62)</f>
        <v>0.55666666666666664</v>
      </c>
      <c r="G2">
        <f>STDEV(0.56,0.49,0.62)</f>
        <v>6.5064070986477124E-2</v>
      </c>
      <c r="H2">
        <f>AVERAGE(0.58,0.49,0.58)</f>
        <v>0.54999999999999993</v>
      </c>
      <c r="I2">
        <f>STDEV(0.58,0.49,0.58)</f>
        <v>5.1961524227066298E-2</v>
      </c>
      <c r="J2">
        <f>AVERAGE(0.6,0.54,0.6)</f>
        <v>0.58000000000000007</v>
      </c>
      <c r="K2">
        <f>STDEV(0.6,0.54,0.6)</f>
        <v>3.4641016151377511E-2</v>
      </c>
      <c r="L2">
        <f>AVERAGE(0.59,0.5,0.62)</f>
        <v>0.56999999999999995</v>
      </c>
      <c r="M2">
        <f>STDEV(0.59,0.5,0.62)</f>
        <v>6.2449979983983973E-2</v>
      </c>
      <c r="N2">
        <f>AVERAGE(0.6,0.55,0.63)</f>
        <v>0.59333333333333327</v>
      </c>
      <c r="O2">
        <f>STDEV(0.6,0.55,0.63)</f>
        <v>4.0414518843273781E-2</v>
      </c>
    </row>
    <row r="3" spans="1:15" x14ac:dyDescent="0.2">
      <c r="A3" s="1" t="s">
        <v>8</v>
      </c>
      <c r="B3">
        <f>AVERAGE(0.5583,0.447,0.56)</f>
        <v>0.52176666666666671</v>
      </c>
      <c r="C3">
        <f>STDEV(0.5583,0.447,0.56)</f>
        <v>6.475541161426869E-2</v>
      </c>
      <c r="D3">
        <f>AVERAGE(0.55,0.49,0.58)</f>
        <v>0.54</v>
      </c>
      <c r="E3">
        <f>STDEV(0.55,0.49,0.58)</f>
        <v>4.5825756949558392E-2</v>
      </c>
      <c r="F3">
        <f>AVERAGE(0.52,0.49,0.63)</f>
        <v>0.54666666666666675</v>
      </c>
      <c r="G3">
        <f>STDEV(0.52,0.49,0.63)</f>
        <v>7.3711147958319262E-2</v>
      </c>
      <c r="H3">
        <f>AVERAGE(0.51,0.48,0.63)</f>
        <v>0.54</v>
      </c>
      <c r="I3">
        <f>STDEV(0.51,0.48,0.63)</f>
        <v>7.9372539331937192E-2</v>
      </c>
      <c r="J3">
        <f>AVERAGE(0.52,0.52,0.53)</f>
        <v>0.52333333333333332</v>
      </c>
      <c r="K3">
        <f>STDEV(0.52,0.52,0.53)</f>
        <v>5.7735026918962623E-3</v>
      </c>
      <c r="L3">
        <f>AVERAGE(0.54,0.47,0.56)</f>
        <v>0.52333333333333332</v>
      </c>
      <c r="M3">
        <f>STDEV(0.54,0.47,0.56)</f>
        <v>4.7258156262526121E-2</v>
      </c>
      <c r="N3">
        <f>AVERAGE(0.58,0.48,0.56)</f>
        <v>0.54</v>
      </c>
      <c r="O3">
        <f>STDEV(0.58,0.48,0.56)</f>
        <v>5.2915026221291822E-2</v>
      </c>
    </row>
    <row r="4" spans="1:15" x14ac:dyDescent="0.2">
      <c r="A4" s="1" t="s">
        <v>9</v>
      </c>
      <c r="B4">
        <f>AVERAGE(0.4475,0.5029,0.4752)</f>
        <v>0.47520000000000001</v>
      </c>
      <c r="C4">
        <f>STDEV(0.4475,0.5029,0.4752)</f>
        <v>2.7700000000000002E-2</v>
      </c>
      <c r="D4">
        <f>AVERAGE(0.44,0.49,0.57)</f>
        <v>0.5</v>
      </c>
      <c r="E4">
        <f>STDEV(0.44,0.49,0.57)</f>
        <v>6.5574385243019784E-2</v>
      </c>
      <c r="F4">
        <f>AVERAGE(0.51,0.47,0.58)</f>
        <v>0.52</v>
      </c>
      <c r="G4">
        <f>STDEV(0.51,0.47,0.58)</f>
        <v>5.5677643628300209E-2</v>
      </c>
      <c r="H4">
        <f>AVERAGE(0.45,0.54,0.57)</f>
        <v>0.52</v>
      </c>
      <c r="I4">
        <f>STDEV(0.45,0.54,0.57)</f>
        <v>6.2449979983983966E-2</v>
      </c>
      <c r="J4">
        <f>AVERAGE(0.43,0.55,0.56)</f>
        <v>0.51333333333333331</v>
      </c>
      <c r="K4">
        <f>STDEV(0.43,0.55,0.56)</f>
        <v>7.2341781380702977E-2</v>
      </c>
      <c r="L4">
        <f>AVERAGE(0.55,0.52,0.61)</f>
        <v>0.56000000000000005</v>
      </c>
      <c r="M4">
        <f>STDEV(0.55,0.52,0.61)</f>
        <v>4.5825756949558386E-2</v>
      </c>
      <c r="N4">
        <f>AVERAGE(0.63,0.54,0.55)</f>
        <v>0.57333333333333336</v>
      </c>
      <c r="O4">
        <f>STDEV(0.63,0.54,0.55)</f>
        <v>4.9328828623162457E-2</v>
      </c>
    </row>
    <row r="5" spans="1:15" x14ac:dyDescent="0.2">
      <c r="A5" s="1" t="s">
        <v>10</v>
      </c>
    </row>
    <row r="6" spans="1:15" x14ac:dyDescent="0.2">
      <c r="A6" s="1" t="s">
        <v>11</v>
      </c>
      <c r="B6">
        <f>AVERAGE(0.5822, 0.58, 0.5596)</f>
        <v>0.5739333333333333</v>
      </c>
      <c r="C6">
        <f>STDEV(0.5822, 0.58, 0.5596)</f>
        <v>1.2461674579820069E-2</v>
      </c>
      <c r="D6">
        <f>AVERAGE(0.6177,0.5713,0.6219)</f>
        <v>0.60363333333333336</v>
      </c>
      <c r="E6">
        <f>STDEV(0.6177,0.5713,0.6219)</f>
        <v>2.8080123456518721E-2</v>
      </c>
      <c r="F6">
        <f>AVERAGE(0.5912,0.5739,0.6132)</f>
        <v>0.59276666666666655</v>
      </c>
      <c r="G6">
        <f>STDEV(0.5912,0.5739,0.6132)</f>
        <v>1.9696784847617475E-2</v>
      </c>
      <c r="H6">
        <f>AVERAGE(0.6183,0.5752,0.5841)</f>
        <v>0.59253333333333336</v>
      </c>
      <c r="I6">
        <f>STDEV(0.6183,0.5752,0.5841)</f>
        <v>2.2753974011880472E-2</v>
      </c>
      <c r="J6">
        <f>AVERAGE(0.5912,0.6068,0.6428)</f>
        <v>0.61360000000000003</v>
      </c>
      <c r="K6">
        <f>STDEV(0.5912,0.6068,0.6428)</f>
        <v>2.6463559851236988E-2</v>
      </c>
      <c r="L6">
        <f>AVERAGE(0.5945,0.6087,0.6622)</f>
        <v>0.62180000000000002</v>
      </c>
      <c r="M6">
        <f>STDEV(0.5945,0.6087,0.6622)</f>
        <v>3.5700560219694026E-2</v>
      </c>
      <c r="N6">
        <f>AVERAGE(0.6074,0.6835,0.686)</f>
        <v>0.6589666666666667</v>
      </c>
      <c r="O6">
        <f>STDEV(0.6074,0.6835,0.686)</f>
        <v>4.4675533945699321E-2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6B2A-B5DF-C34C-9ED0-3B6A1DA22323}">
  <dimension ref="A1:I6"/>
  <sheetViews>
    <sheetView workbookViewId="0">
      <selection activeCell="C6" sqref="C6"/>
    </sheetView>
  </sheetViews>
  <sheetFormatPr baseColWidth="10" defaultRowHeight="16" x14ac:dyDescent="0.2"/>
  <cols>
    <col min="1" max="1" width="17.33203125" customWidth="1"/>
  </cols>
  <sheetData>
    <row r="1" spans="1:9" x14ac:dyDescent="0.2">
      <c r="B1" s="3" t="s">
        <v>13</v>
      </c>
      <c r="C1" s="3"/>
      <c r="D1" s="3" t="s">
        <v>14</v>
      </c>
      <c r="E1" s="3"/>
      <c r="F1" s="3" t="s">
        <v>15</v>
      </c>
      <c r="G1" s="3"/>
      <c r="H1" s="3" t="s">
        <v>12</v>
      </c>
    </row>
    <row r="2" spans="1:9" x14ac:dyDescent="0.2">
      <c r="A2" t="s">
        <v>16</v>
      </c>
      <c r="B2" s="4">
        <f>AVERAGE(0.6074,0.6835,0.686)</f>
        <v>0.6589666666666667</v>
      </c>
      <c r="C2" s="4"/>
      <c r="D2" s="4">
        <f>AVERAGE(0.5912,0.6068,0.6428)</f>
        <v>0.61360000000000003</v>
      </c>
      <c r="E2" s="4"/>
      <c r="F2" s="4">
        <f>AVERAGE(0.5912,0.5739,0.6132)</f>
        <v>0.59276666666666655</v>
      </c>
      <c r="G2" s="4"/>
      <c r="H2" s="4">
        <f>AVERAGE(0.5822, 0.58, 0.5596)</f>
        <v>0.5739333333333333</v>
      </c>
      <c r="I2" s="4"/>
    </row>
    <row r="3" spans="1:9" x14ac:dyDescent="0.2">
      <c r="A3" t="s">
        <v>17</v>
      </c>
      <c r="B3" s="4">
        <f>AVERAGE(0.711,0.7121,0.697)</f>
        <v>0.70669999999999999</v>
      </c>
      <c r="C3" s="4">
        <f>STDEV(0.711,0.7121,0.697)</f>
        <v>8.4184321580683934E-3</v>
      </c>
      <c r="D3" s="4">
        <f>AVERAGE(0.7138,0.7142,0.6948)</f>
        <v>0.7075999999999999</v>
      </c>
      <c r="E3" s="4">
        <f>STDEV(0.7138,0.7142,0.6948)</f>
        <v>1.1086929241228156E-2</v>
      </c>
      <c r="F3" s="4">
        <f>AVERAGE(0.7101,0.7105,0.6828)</f>
        <v>0.70113333333333328</v>
      </c>
      <c r="G3" s="4">
        <f>STDEV(0.7101,0.7105,0.6828)</f>
        <v>1.5878392026062772E-2</v>
      </c>
      <c r="H3" s="4">
        <f>AVERAGE(0.6838,0.7113,0.6776)</f>
        <v>0.69090000000000007</v>
      </c>
      <c r="I3" s="4">
        <f>STDEV(0.6838,0.7113,0.6776)</f>
        <v>1.7936833611315053E-2</v>
      </c>
    </row>
    <row r="4" spans="1:9" x14ac:dyDescent="0.2">
      <c r="A4" t="s">
        <v>18</v>
      </c>
      <c r="B4" s="4">
        <f>AVERAGE(0.9321,0.9335,0.9241)</f>
        <v>0.92990000000000006</v>
      </c>
      <c r="C4" s="4">
        <f>STDEV(0.9321,0.9335,0.9241)</f>
        <v>5.0714889332423756E-3</v>
      </c>
      <c r="D4" s="4">
        <f>AVERAGE(0.9318,0.9319,0.9225)</f>
        <v>0.9287333333333333</v>
      </c>
      <c r="E4" s="4">
        <f>STDEV(0.9318,0.9319,0.9225)</f>
        <v>5.3984565695514436E-3</v>
      </c>
      <c r="F4" s="4">
        <f>AVERAGE(0.9257,0.9297,0.9174)</f>
        <v>0.92426666666666668</v>
      </c>
      <c r="G4" s="4">
        <f>STDEV(0.9257,0.9297,0.9174)</f>
        <v>6.2740205078827384E-3</v>
      </c>
      <c r="H4" s="4">
        <f>AVERAGE(0.8828,0.9234,0.9101)</f>
        <v>0.90543333333333331</v>
      </c>
      <c r="I4" s="4">
        <f>STDEV(0.8828,0.9234,0.9101)</f>
        <v>2.0698389631402071E-2</v>
      </c>
    </row>
    <row r="5" spans="1:9" x14ac:dyDescent="0.2">
      <c r="A5" t="s">
        <v>19</v>
      </c>
      <c r="B5" s="4">
        <f>AVERAGE(0.813,0.8305,0.8555)</f>
        <v>0.83300000000000007</v>
      </c>
      <c r="C5" s="4">
        <f>STDEV(0.813,0.8305,0.8555)</f>
        <v>2.1360009363293873E-2</v>
      </c>
      <c r="D5" s="4">
        <f>AVERAGE(0.8173,0.822,0.8639)</f>
        <v>0.83440000000000003</v>
      </c>
      <c r="E5" s="4">
        <f>STDEV(0.8173,0.822,0.8639)</f>
        <v>2.5655603676390082E-2</v>
      </c>
      <c r="F5">
        <f>AVERAGE(0.8057,0.8229,0.8557)</f>
        <v>0.82810000000000006</v>
      </c>
      <c r="G5">
        <f>STDEV(0.8057,0.8229,0.8557)</f>
        <v>2.5402362094891912E-2</v>
      </c>
      <c r="H5">
        <f>AVERAGE(0.778,0.8053,0.8142)</f>
        <v>0.79916666666666669</v>
      </c>
      <c r="I5">
        <f>STDEV(0.778,0.8053,0.8142)</f>
        <v>1.8863280025842095E-2</v>
      </c>
    </row>
    <row r="6" spans="1:9" x14ac:dyDescent="0.2">
      <c r="A6" t="s">
        <v>20</v>
      </c>
      <c r="B6" s="4">
        <f>AVERAGE(0.6848,0.685,0.6796)</f>
        <v>0.68313333333333348</v>
      </c>
      <c r="C6" s="4">
        <f>STDEV(0.6848,0.685,0.6796)</f>
        <v>3.0615900008546925E-3</v>
      </c>
      <c r="D6" s="4">
        <f>AVERAGE(0.6603,0.685,0.6688)</f>
        <v>0.67136666666666667</v>
      </c>
      <c r="E6" s="4">
        <f>STDEV(0.6603,0.685,0.6688)</f>
        <v>1.2548439478012164E-2</v>
      </c>
      <c r="F6" s="4">
        <f>AVERAGE(0.6576,0.65,0.6612)</f>
        <v>0.65626666666666666</v>
      </c>
      <c r="G6" s="4">
        <f>STDEV(0.6576,0.65,0.6612)</f>
        <v>5.7178084379710722E-3</v>
      </c>
      <c r="H6" s="4">
        <f>AVERAGE(0.6518,0.5937,0.586)</f>
        <v>0.61050000000000004</v>
      </c>
      <c r="I6" s="4">
        <f>STDEV(0.6518,0.5937,0.586)</f>
        <v>3.5973462441082904E-2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6FA6-CD18-1C40-948A-375D532E70C5}">
  <dimension ref="A1:I8"/>
  <sheetViews>
    <sheetView tabSelected="1" workbookViewId="0">
      <selection activeCell="D4" sqref="D4:E8"/>
    </sheetView>
  </sheetViews>
  <sheetFormatPr baseColWidth="10" defaultRowHeight="16" x14ac:dyDescent="0.2"/>
  <cols>
    <col min="2" max="3" width="19.5" customWidth="1"/>
    <col min="4" max="5" width="19" customWidth="1"/>
    <col min="6" max="7" width="20" customWidth="1"/>
    <col min="8" max="8" width="19.33203125" customWidth="1"/>
    <col min="9" max="9" width="20.33203125" customWidth="1"/>
  </cols>
  <sheetData>
    <row r="1" spans="1:9" x14ac:dyDescent="0.2">
      <c r="A1" s="5" t="s">
        <v>25</v>
      </c>
      <c r="B1" s="5"/>
      <c r="C1" s="5"/>
      <c r="D1" s="5"/>
      <c r="E1" s="5"/>
      <c r="F1" s="5"/>
      <c r="G1" s="5"/>
      <c r="H1" s="5"/>
    </row>
    <row r="2" spans="1:9" x14ac:dyDescent="0.2">
      <c r="B2" s="7" t="s">
        <v>21</v>
      </c>
      <c r="C2" s="7"/>
      <c r="D2" s="7" t="s">
        <v>22</v>
      </c>
      <c r="E2" s="7"/>
      <c r="F2" s="7" t="s">
        <v>23</v>
      </c>
      <c r="G2" s="7"/>
      <c r="H2" s="7" t="s">
        <v>24</v>
      </c>
      <c r="I2" s="7"/>
    </row>
    <row r="3" spans="1:9" x14ac:dyDescent="0.2">
      <c r="B3" s="6" t="s">
        <v>26</v>
      </c>
      <c r="C3" s="6" t="s">
        <v>27</v>
      </c>
      <c r="D3" s="6" t="s">
        <v>26</v>
      </c>
      <c r="E3" s="6" t="s">
        <v>27</v>
      </c>
      <c r="F3" s="6" t="s">
        <v>26</v>
      </c>
      <c r="G3" s="6" t="s">
        <v>27</v>
      </c>
      <c r="H3" s="6" t="s">
        <v>26</v>
      </c>
      <c r="I3" s="6" t="s">
        <v>27</v>
      </c>
    </row>
    <row r="4" spans="1:9" x14ac:dyDescent="0.2">
      <c r="A4" s="1" t="s">
        <v>7</v>
      </c>
      <c r="B4">
        <f>AVERAGE(0.6073,0.6246,0.6024)</f>
        <v>0.61143333333333338</v>
      </c>
      <c r="C4">
        <f>STDEV(0.6073,0.6246,0.6024)</f>
        <v>1.1662904155197953E-2</v>
      </c>
      <c r="D4" s="8">
        <f>AVERAGE(0.6079,0.6252,0.6028)</f>
        <v>0.61196666666666666</v>
      </c>
      <c r="E4" s="8">
        <f>STDEV(0.6079,0.6252,0.6028)</f>
        <v>1.1740670054700159E-2</v>
      </c>
      <c r="F4">
        <f>AVERAGE(0.7104,0.7065,0.6864)</f>
        <v>0.70109999999999995</v>
      </c>
      <c r="G4">
        <f>STDEV(0.7104,0.7065,0.6864)</f>
        <v>1.2879052760199418E-2</v>
      </c>
      <c r="H4">
        <f>AVERAGE(0.7123,0.7126,0.6969)</f>
        <v>0.7072666666666666</v>
      </c>
      <c r="I4">
        <f>STDEV(0.7123,0.7126,0.6969)</f>
        <v>8.9790496898799928E-3</v>
      </c>
    </row>
    <row r="5" spans="1:9" x14ac:dyDescent="0.2">
      <c r="A5" s="1" t="s">
        <v>8</v>
      </c>
      <c r="B5">
        <f>AVERAGE(0.8294,0.83,0.8312)</f>
        <v>0.83020000000000005</v>
      </c>
      <c r="C5">
        <f>STDEV(0.8294,0.83,0.8312)</f>
        <v>9.1651513899118826E-4</v>
      </c>
      <c r="D5" s="8">
        <f>AVERAGE(0.8368,0.836,0.8342)</f>
        <v>0.83566666666666667</v>
      </c>
      <c r="E5" s="8">
        <f>STDEV(0.8368,0.836,0.8342)</f>
        <v>1.3316656236958403E-3</v>
      </c>
      <c r="F5">
        <f>AVERAGE(0.6852,0.6534,0.6649)</f>
        <v>0.66783333333333328</v>
      </c>
      <c r="G5">
        <f>STDEV(0.6852,0.6534,0.6649)</f>
        <v>1.6101656229510493E-2</v>
      </c>
      <c r="H5">
        <f>AVERAGE(0.6753,0.6757,0.6595)</f>
        <v>0.67016666666666669</v>
      </c>
      <c r="I5">
        <f>STDEV(0.6753,0.6757,0.6595)</f>
        <v>9.239769116884549E-3</v>
      </c>
    </row>
    <row r="6" spans="1:9" x14ac:dyDescent="0.2">
      <c r="A6" s="1" t="s">
        <v>9</v>
      </c>
      <c r="B6">
        <f>AVERAGE(0.4974,0.507,0.5169)</f>
        <v>0.5071</v>
      </c>
      <c r="C6">
        <f>STDEV(0.4974,0.507,0.5169)</f>
        <v>9.7503846077988208E-3</v>
      </c>
      <c r="D6" s="8">
        <f>AVERAGE(0.5721,0.5047,0.5147)</f>
        <v>0.53049999999999997</v>
      </c>
      <c r="E6" s="8">
        <f>STDEV(0.5721,0.5047,0.5147)</f>
        <v>3.6371967227522908E-2</v>
      </c>
      <c r="F6">
        <f>AVERAGE(0.6253,0.5696,0.5998)</f>
        <v>0.59823333333333339</v>
      </c>
      <c r="G6">
        <f>STDEV(0.6253,0.5696,0.5998)</f>
        <v>2.7883029486290269E-2</v>
      </c>
      <c r="H6">
        <f>AVERAGE(0.6073,0.6234,0.6154)</f>
        <v>0.61536666666666662</v>
      </c>
      <c r="I6">
        <f>STDEV(0.6073,0.6234,0.6154)</f>
        <v>8.0500517596679682E-3</v>
      </c>
    </row>
    <row r="7" spans="1:9" x14ac:dyDescent="0.2">
      <c r="A7" s="1" t="s">
        <v>10</v>
      </c>
      <c r="B7">
        <f>AVERAGE(0.823,0.821)</f>
        <v>0.82199999999999995</v>
      </c>
      <c r="C7">
        <f>STDEV(0.823,0.821)</f>
        <v>1.4142135623730963E-3</v>
      </c>
      <c r="D7" s="8">
        <f>AVERAGE(0.908,0.911)</f>
        <v>0.90949999999999998</v>
      </c>
      <c r="E7" s="8">
        <f>STDEV(0.908,0.911)</f>
        <v>2.1213203435596446E-3</v>
      </c>
      <c r="F7">
        <f>AVERAGE(0.545,0.552,0.528)</f>
        <v>0.54166666666666663</v>
      </c>
      <c r="G7">
        <f>STDEV(0.545,0.552,0.528)</f>
        <v>1.2342339054382423E-2</v>
      </c>
      <c r="H7">
        <f>AVERAGE(0.525,0.548,0.521)</f>
        <v>0.53133333333333332</v>
      </c>
      <c r="I7">
        <f>STDEV(0.525,0.548,0.521)</f>
        <v>1.4571661996262942E-2</v>
      </c>
    </row>
    <row r="8" spans="1:9" x14ac:dyDescent="0.2">
      <c r="A8" s="1" t="s">
        <v>11</v>
      </c>
      <c r="B8">
        <f>AVERAGE(0.9383, 0.9628,0.9541)</f>
        <v>0.95173333333333332</v>
      </c>
      <c r="C8">
        <f>STDEV(0.9383, 0.9628,0.9541)</f>
        <v>1.2420279116563073E-2</v>
      </c>
      <c r="D8" s="8">
        <f>AVERAGE(0.9916,0.992,0.9894)</f>
        <v>0.99099999999999999</v>
      </c>
      <c r="E8" s="8">
        <f>STDEV(0.9916,0.992,0.9894)</f>
        <v>1.4000000000000362E-3</v>
      </c>
      <c r="F8">
        <f>AVERAGE(0.7094,0.71,0.6998)</f>
        <v>0.70640000000000003</v>
      </c>
      <c r="G8">
        <f>STDEV(0.7094,0.71,0.6998)</f>
        <v>5.7236352085016842E-3</v>
      </c>
      <c r="H8">
        <f>AVERAGE(0.7046,0.7122,0.6969)</f>
        <v>0.70456666666666667</v>
      </c>
      <c r="I8">
        <f>STDEV(0.7046,0.7122,0.6969)</f>
        <v>7.6500544660370907E-3</v>
      </c>
    </row>
  </sheetData>
  <mergeCells count="5">
    <mergeCell ref="A1:H1"/>
    <mergeCell ref="B2:C2"/>
    <mergeCell ref="D2:E2"/>
    <mergeCell ref="F2:G2"/>
    <mergeCell ref="H2:I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Fig2补充MIMIC和Framingham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2023-07-20T12:34:35Z</dcterms:created>
  <dcterms:modified xsi:type="dcterms:W3CDTF">2023-09-14T12:43:12Z</dcterms:modified>
</cp:coreProperties>
</file>