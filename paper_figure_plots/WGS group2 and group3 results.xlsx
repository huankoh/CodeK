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gj/Research/HybridLT-ver2.2/paper_figure_plots/"/>
    </mc:Choice>
  </mc:AlternateContent>
  <xr:revisionPtr revIDLastSave="0" documentId="13_ncr:1_{427CDDE6-C547-0744-8EF7-368CAC982C97}" xr6:coauthVersionLast="47" xr6:coauthVersionMax="47" xr10:uidLastSave="{00000000-0000-0000-0000-000000000000}"/>
  <bookViews>
    <workbookView xWindow="38400" yWindow="500" windowWidth="21600" windowHeight="37900" activeTab="1" xr2:uid="{DBEA60E8-4FBA-BD4A-9E57-CD7EF86F7B4E}"/>
  </bookViews>
  <sheets>
    <sheet name="Group2" sheetId="1" r:id="rId1"/>
    <sheet name="Group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4" l="1"/>
  <c r="O3" i="4"/>
  <c r="O2" i="4"/>
  <c r="N4" i="4"/>
  <c r="N3" i="4"/>
  <c r="N2" i="4"/>
  <c r="M4" i="4"/>
  <c r="M3" i="4"/>
  <c r="M2" i="4"/>
  <c r="L4" i="4"/>
  <c r="L3" i="4"/>
  <c r="L2" i="4"/>
  <c r="K4" i="4"/>
  <c r="K3" i="4"/>
  <c r="K2" i="4"/>
  <c r="J4" i="4"/>
  <c r="J3" i="4"/>
  <c r="J2" i="4"/>
  <c r="I4" i="4"/>
  <c r="I3" i="4"/>
  <c r="I2" i="4"/>
  <c r="H4" i="4"/>
  <c r="H3" i="4"/>
  <c r="H2" i="4"/>
  <c r="G4" i="4"/>
  <c r="G3" i="4"/>
  <c r="G2" i="4"/>
  <c r="F4" i="4"/>
  <c r="F3" i="4"/>
  <c r="F2" i="4"/>
  <c r="E4" i="4"/>
  <c r="E3" i="4"/>
  <c r="E2" i="4"/>
  <c r="D4" i="4"/>
  <c r="D3" i="4"/>
  <c r="D2" i="4"/>
  <c r="C4" i="4"/>
  <c r="C3" i="4"/>
  <c r="C2" i="4"/>
  <c r="B4" i="4"/>
  <c r="B3" i="4"/>
  <c r="B2" i="4"/>
  <c r="D7" i="4"/>
  <c r="F7" i="4"/>
  <c r="H7" i="4"/>
  <c r="J7" i="4"/>
  <c r="L7" i="4"/>
  <c r="N7" i="4"/>
  <c r="B7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O4" i="1"/>
  <c r="O3" i="1"/>
  <c r="O2" i="1"/>
  <c r="N4" i="1"/>
  <c r="N3" i="1"/>
  <c r="N2" i="1"/>
  <c r="M4" i="1"/>
  <c r="M3" i="1"/>
  <c r="M2" i="1"/>
  <c r="L4" i="1"/>
  <c r="L3" i="1"/>
  <c r="L2" i="1"/>
  <c r="K4" i="1"/>
  <c r="K3" i="1"/>
  <c r="K2" i="1"/>
  <c r="J4" i="1"/>
  <c r="J3" i="1"/>
  <c r="J2" i="1"/>
  <c r="I4" i="1"/>
  <c r="I3" i="1"/>
  <c r="I2" i="1"/>
  <c r="H4" i="1"/>
  <c r="H3" i="1"/>
  <c r="H2" i="1"/>
  <c r="G4" i="1"/>
  <c r="G3" i="1"/>
  <c r="G2" i="1"/>
  <c r="F2" i="1"/>
  <c r="F4" i="1"/>
  <c r="F3" i="1"/>
  <c r="E4" i="1"/>
  <c r="E3" i="1"/>
  <c r="E2" i="1"/>
  <c r="D4" i="1"/>
  <c r="D3" i="1"/>
  <c r="D2" i="1"/>
  <c r="C4" i="1"/>
  <c r="C3" i="1"/>
  <c r="C2" i="1"/>
  <c r="B4" i="1"/>
  <c r="B3" i="1"/>
  <c r="B2" i="1"/>
  <c r="O6" i="1"/>
  <c r="N6" i="1"/>
  <c r="M6" i="1"/>
  <c r="L6" i="1"/>
  <c r="K6" i="1"/>
  <c r="J6" i="1"/>
  <c r="C6" i="1"/>
  <c r="B6" i="1"/>
  <c r="I6" i="1"/>
  <c r="H6" i="1"/>
  <c r="G6" i="1"/>
  <c r="F6" i="1"/>
  <c r="E6" i="1"/>
  <c r="D6" i="1"/>
</calcChain>
</file>

<file path=xl/sharedStrings.xml><?xml version="1.0" encoding="utf-8"?>
<sst xmlns="http://schemas.openxmlformats.org/spreadsheetml/2006/main" count="52" uniqueCount="13">
  <si>
    <t>WGS (10%-30%)</t>
  </si>
  <si>
    <t>WGS (20%-30%)</t>
  </si>
  <si>
    <t>WGS (30%-30%)</t>
  </si>
  <si>
    <t>WGS (40%-30%)</t>
  </si>
  <si>
    <t>WGS (50%-30%)</t>
  </si>
  <si>
    <t>WGS (60%-30%)</t>
  </si>
  <si>
    <t>WGS (70%-30%)</t>
  </si>
  <si>
    <t>LR</t>
  </si>
  <si>
    <t>RF</t>
  </si>
  <si>
    <t>SVM</t>
  </si>
  <si>
    <t>SNN</t>
  </si>
  <si>
    <t>Ours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</si>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</sst>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B3A2-C513-554E-9EFF-A0D6B7BDFBB0}">
  <dimension ref="A1:O6"/>
  <sheetViews>
    <sheetView workbookViewId="0">
      <selection activeCell="O6" sqref="A1:O6"/>
    </sheetView>
  </sheetViews>
  <sheetFormatPr baseColWidth="10" defaultRowHeight="16" x14ac:dyDescent="0.2"/>
  <cols>
    <col min="2" max="3" width="16.1640625" customWidth="1"/>
    <col min="4" max="5" width="16.33203125" customWidth="1"/>
    <col min="6" max="7" width="16" customWidth="1"/>
    <col min="8" max="9" width="15.6640625" customWidth="1"/>
    <col min="10" max="11" width="16.1640625" customWidth="1"/>
    <col min="12" max="13" width="16.6640625" customWidth="1"/>
    <col min="14" max="14" width="17.1640625" customWidth="1"/>
    <col min="15" max="15" width="18.5" customWidth="1"/>
  </cols>
  <sheetData>
    <row r="1" spans="1:15" x14ac:dyDescent="0.2">
      <c r="A1" s="1"/>
      <c r="B1" s="1" t="s">
        <v>6</v>
      </c>
      <c r="C1" s="1"/>
      <c r="D1" s="2" t="s">
        <v>5</v>
      </c>
      <c r="E1" s="1"/>
      <c r="F1" s="1" t="s">
        <v>4</v>
      </c>
      <c r="G1" s="1"/>
      <c r="H1" s="1" t="s">
        <v>3</v>
      </c>
      <c r="I1" s="1"/>
      <c r="J1" s="1" t="s">
        <v>2</v>
      </c>
      <c r="K1" s="1"/>
      <c r="L1" s="1" t="s">
        <v>1</v>
      </c>
      <c r="M1" s="2"/>
      <c r="N1" s="1" t="s">
        <v>0</v>
      </c>
    </row>
    <row r="2" spans="1:15" x14ac:dyDescent="0.2">
      <c r="A2" s="1" t="s">
        <v>7</v>
      </c>
      <c r="B2" s="5">
        <f>AVERAGE(0.6009,0.6293,0.5332)</f>
        <v>0.58779999999999999</v>
      </c>
      <c r="C2" s="3">
        <f>STDEV(0.6009,0.6293,0.5332)</f>
        <v>4.9371145419161565E-2</v>
      </c>
      <c r="D2" s="5">
        <f>AVERAGE(0.6202,0.5629,0.5326)</f>
        <v>0.57189999999999996</v>
      </c>
      <c r="E2" s="3">
        <f>STDEV(0.6202,0.5629,0.5326)</f>
        <v>4.4488088293384791E-2</v>
      </c>
      <c r="F2" s="5">
        <f>AVERAGE(0.6157,0.5896,0.5764)</f>
        <v>0.59389999999999998</v>
      </c>
      <c r="G2" s="3">
        <f>STDEV(0.6157,0.5896,0.5764)</f>
        <v>1.9999749998437483E-2</v>
      </c>
      <c r="H2" s="5">
        <f>AVERAGE(0.608,0.5654,0.5583)</f>
        <v>0.57723333333333338</v>
      </c>
      <c r="I2" s="3">
        <f>STDEV(0.608,0.5654,0.5583)</f>
        <v>2.6880166170121279E-2</v>
      </c>
      <c r="J2" s="5">
        <f>AVERAGE(0.5732,0.5487,0.5583)</f>
        <v>0.56006666666666671</v>
      </c>
      <c r="K2" s="3">
        <f>STDEV(0.5732,0.5487,0.5583)</f>
        <v>1.2345174495864133E-2</v>
      </c>
      <c r="L2" s="5">
        <f>AVERAGE(0.5532,0.4745,0.5861)</f>
        <v>0.53793333333333326</v>
      </c>
      <c r="M2" s="3">
        <f>STDEV(0.5532,0.4745,0.5861)</f>
        <v>5.7344950373449041E-2</v>
      </c>
      <c r="N2" s="5">
        <f>AVERAGE(0.5242,0.479,0.5177)</f>
        <v>0.50696666666666668</v>
      </c>
      <c r="O2" s="3">
        <f>STDEV(0.5242,0.479,0.5177)</f>
        <v>2.4436925611323008E-2</v>
      </c>
    </row>
    <row r="3" spans="1:15" x14ac:dyDescent="0.2">
      <c r="A3" s="1" t="s">
        <v>8</v>
      </c>
      <c r="B3" s="5">
        <f>AVERAGE(0.5416,0.4574,0.4807)</f>
        <v>0.49323333333333325</v>
      </c>
      <c r="C3" s="3">
        <f>STDEV(0.5416,0.4574,0.4807)</f>
        <v>4.3476698740053075E-2</v>
      </c>
      <c r="D3" s="5">
        <f>AVERAGE(0.5525,0.4336,0.5248)</f>
        <v>0.50363333333333327</v>
      </c>
      <c r="E3" s="3">
        <f>STDEV(0.5525,0.4336,0.5248)</f>
        <v>6.2211922758691723E-2</v>
      </c>
      <c r="F3" s="5">
        <f>AVERAGE(0.5709,0.4765,0.5161)</f>
        <v>0.52116666666666667</v>
      </c>
      <c r="G3" s="3">
        <f>STDEV(0.5709,0.4765,0.5161)</f>
        <v>4.7403516043995432E-2</v>
      </c>
      <c r="H3" s="5">
        <f>AVERAGE(0.5645,0.4478,0.5509)</f>
        <v>0.52106666666666668</v>
      </c>
      <c r="I3" s="3">
        <f>STDEV(0.5645,0.4478,0.5509)</f>
        <v>6.3814131141412045E-2</v>
      </c>
      <c r="J3" s="5">
        <f>AVERAGE(0.5435,0.5222,0.5251)</f>
        <v>0.53026666666666677</v>
      </c>
      <c r="K3" s="3">
        <f>STDEV(0.5435,0.5222,0.5251)</f>
        <v>1.1551767541520781E-2</v>
      </c>
      <c r="L3" s="5">
        <f>AVERAGE(0.5222,0.5164,0.5152)</f>
        <v>0.51793333333333325</v>
      </c>
      <c r="M3" s="3">
        <f>STDEV(0.5222,0.5164,0.5152)</f>
        <v>3.7434387043643966E-3</v>
      </c>
      <c r="N3" s="5">
        <f>AVERAGE(0.5303,0.481,0.5006)</f>
        <v>0.50396666666666656</v>
      </c>
      <c r="O3" s="3">
        <f>STDEV(0.5303,0.481,0.5006)</f>
        <v>2.4821831788434421E-2</v>
      </c>
    </row>
    <row r="4" spans="1:15" x14ac:dyDescent="0.2">
      <c r="A4" s="1" t="s">
        <v>9</v>
      </c>
      <c r="B4" s="5">
        <f>AVERAGE(0.6028,0.5777,0.599)</f>
        <v>0.59316666666666662</v>
      </c>
      <c r="C4" s="3">
        <f>STDEV(0.6028,0.5777,0.599)</f>
        <v>1.3528611655795776E-2</v>
      </c>
      <c r="D4" s="5">
        <f>AVERAGE(0.5519,0.5093,0.5667)</f>
        <v>0.5426333333333333</v>
      </c>
      <c r="E4" s="3">
        <f>STDEV(0.5519,0.5093,0.5667)</f>
        <v>2.9800894841150883E-2</v>
      </c>
      <c r="F4" s="5">
        <f>AVERAGE(0.4823,0.5687,0.559)</f>
        <v>0.53666666666666663</v>
      </c>
      <c r="G4" s="3">
        <f>STDEV(0.4823,0.5687,0.559)</f>
        <v>4.7332053973320597E-2</v>
      </c>
      <c r="H4" s="5">
        <f>AVERAGE(0.4694,0.5719,0.5558)</f>
        <v>0.53236666666666654</v>
      </c>
      <c r="I4" s="3">
        <f>STDEV(0.4694,0.5719,0.5558)</f>
        <v>5.5121713809834792E-2</v>
      </c>
      <c r="J4" s="5">
        <f>AVERAGE(0.501,0.4455,0.5558)</f>
        <v>0.50076666666666669</v>
      </c>
      <c r="K4" s="3">
        <f>STDEV(0.501,0.4455,0.5558)</f>
        <v>5.515037020123556E-2</v>
      </c>
      <c r="L4" s="5">
        <f>AVERAGE(0.4703,0.5222,0.5725)</f>
        <v>0.52166666666666661</v>
      </c>
      <c r="M4" s="3">
        <f>STDEV(0.4703,0.5222,0.5725)</f>
        <v>5.1102087367673486E-2</v>
      </c>
      <c r="N4" s="5">
        <f>AVERAGE(0.4784,0.4887,0.4739)</f>
        <v>0.48033333333333333</v>
      </c>
      <c r="O4" s="3">
        <f>STDEV(0.4784,0.4887,0.4739)</f>
        <v>7.587050371081875E-3</v>
      </c>
    </row>
    <row r="5" spans="1:15" x14ac:dyDescent="0.2">
      <c r="A5" s="1" t="s">
        <v>10</v>
      </c>
      <c r="B5" s="5" t="s">
        <v>12</v>
      </c>
      <c r="C5" s="3" t="s">
        <v>12</v>
      </c>
      <c r="D5" s="5" t="s">
        <v>12</v>
      </c>
      <c r="E5" s="3" t="s">
        <v>12</v>
      </c>
      <c r="F5" s="5" t="s">
        <v>12</v>
      </c>
      <c r="G5" s="3" t="s">
        <v>12</v>
      </c>
      <c r="H5" s="5" t="s">
        <v>12</v>
      </c>
      <c r="I5" s="3" t="s">
        <v>12</v>
      </c>
      <c r="J5" s="5" t="s">
        <v>12</v>
      </c>
      <c r="K5" s="3" t="s">
        <v>12</v>
      </c>
      <c r="L5" s="5" t="s">
        <v>12</v>
      </c>
      <c r="M5" s="3" t="s">
        <v>12</v>
      </c>
      <c r="N5" s="5" t="s">
        <v>12</v>
      </c>
      <c r="O5" s="4" t="s">
        <v>12</v>
      </c>
    </row>
    <row r="6" spans="1:15" x14ac:dyDescent="0.2">
      <c r="A6" s="1" t="s">
        <v>11</v>
      </c>
      <c r="B6" s="5">
        <f>AVERAGE(0.63,0.5887,0.6254)</f>
        <v>0.61470000000000002</v>
      </c>
      <c r="C6" s="3">
        <f>STDEV(0.63,0.58987,0.6254)</f>
        <v>2.1961928421702852E-2</v>
      </c>
      <c r="D6" s="5">
        <f>AVERAGE(0.617,0.5029,0.6254)</f>
        <v>0.58176666666666665</v>
      </c>
      <c r="E6" s="3">
        <f>STDEV(0.617,0.5029,0.6254)</f>
        <v>6.842955014709165E-2</v>
      </c>
      <c r="F6" s="5">
        <f>AVERAGE(0.6383,0.528,0.6112)</f>
        <v>0.59250000000000003</v>
      </c>
      <c r="G6" s="3">
        <f>STDEV(0.6383,0.528,0.6112)</f>
        <v>5.7478604715145938E-2</v>
      </c>
      <c r="H6" s="5">
        <f>AVERAGE(0.6312,0.5152,0.6067)</f>
        <v>0.58436666666666659</v>
      </c>
      <c r="I6" s="3">
        <f>STDEV(0.6312,0.5152,0.6067)</f>
        <v>6.1139866971832164E-2</v>
      </c>
      <c r="J6" s="5">
        <f>AVERAGE(0.622,0.5161,0.6241)</f>
        <v>0.58740000000000003</v>
      </c>
      <c r="K6" s="3">
        <f>STDEV(0.622,0.5161,0.6241)</f>
        <v>6.1756538115409279E-2</v>
      </c>
      <c r="L6" s="5">
        <f>AVERAGE(0.5983,0.482,0.6299)</f>
        <v>0.57006666666666661</v>
      </c>
      <c r="M6" s="3">
        <f>STDEV(0.5983,0.482,0.6299)</f>
        <v>7.788737595614191E-2</v>
      </c>
      <c r="N6" s="5">
        <f>AVERAGE(0.5899,0.4752,0.5822)</f>
        <v>0.54910000000000003</v>
      </c>
      <c r="O6" s="3">
        <f>STDEV(0.5899,0.4752,0.5822)</f>
        <v>6.411497484987419E-2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022E-611F-4C49-B37F-601F4FAD4D6C}">
  <dimension ref="A1:O8"/>
  <sheetViews>
    <sheetView tabSelected="1" topLeftCell="E1" workbookViewId="0">
      <selection activeCell="K7" sqref="K7"/>
    </sheetView>
  </sheetViews>
  <sheetFormatPr baseColWidth="10" defaultRowHeight="16" x14ac:dyDescent="0.2"/>
  <cols>
    <col min="2" max="2" width="14.6640625" customWidth="1"/>
    <col min="3" max="3" width="12" customWidth="1"/>
    <col min="4" max="4" width="15.5" customWidth="1"/>
    <col min="5" max="5" width="13.1640625" customWidth="1"/>
    <col min="6" max="6" width="14.33203125" customWidth="1"/>
    <col min="7" max="7" width="12.5" customWidth="1"/>
    <col min="8" max="8" width="15.1640625" customWidth="1"/>
    <col min="9" max="9" width="12.83203125" customWidth="1"/>
    <col min="10" max="10" width="15.1640625" customWidth="1"/>
    <col min="11" max="11" width="13.1640625" customWidth="1"/>
    <col min="12" max="12" width="15.33203125" customWidth="1"/>
    <col min="13" max="13" width="14" customWidth="1"/>
    <col min="14" max="14" width="15.33203125" customWidth="1"/>
    <col min="15" max="15" width="13.33203125" customWidth="1"/>
  </cols>
  <sheetData>
    <row r="1" spans="1:15" x14ac:dyDescent="0.2">
      <c r="A1" s="1"/>
      <c r="B1" s="1" t="s">
        <v>6</v>
      </c>
      <c r="C1" s="1"/>
      <c r="D1" s="2" t="s">
        <v>5</v>
      </c>
      <c r="E1" s="1"/>
      <c r="F1" s="1" t="s">
        <v>4</v>
      </c>
      <c r="G1" s="1"/>
      <c r="H1" s="1" t="s">
        <v>3</v>
      </c>
      <c r="I1" s="1"/>
      <c r="J1" s="1" t="s">
        <v>2</v>
      </c>
      <c r="K1" s="1"/>
      <c r="L1" s="1" t="s">
        <v>1</v>
      </c>
      <c r="M1" s="2"/>
      <c r="N1" s="1" t="s">
        <v>0</v>
      </c>
    </row>
    <row r="2" spans="1:15" x14ac:dyDescent="0.2">
      <c r="A2" s="1" t="s">
        <v>7</v>
      </c>
      <c r="B2" s="5">
        <f>AVERAGE(0.452,0.4694)</f>
        <v>0.4607</v>
      </c>
      <c r="C2" s="6">
        <f>STDEV(0.452,0.4694)</f>
        <v>1.2303657992645906E-2</v>
      </c>
      <c r="D2" s="5">
        <f>AVERAGE(0.4165,0.4533)</f>
        <v>0.43489999999999995</v>
      </c>
      <c r="E2" s="6">
        <f>STDEV(0.4165,0.4533)</f>
        <v>2.602152954766495E-2</v>
      </c>
      <c r="F2" s="5">
        <f>AVERAGE(0.4023,0.4326)</f>
        <v>0.41744999999999999</v>
      </c>
      <c r="G2" s="6">
        <f>STDEV(0.4023,0.4326)</f>
        <v>2.1425335469952386E-2</v>
      </c>
      <c r="H2" s="5">
        <f>AVERAGE(0.3752,0.3901)</f>
        <v>0.38264999999999999</v>
      </c>
      <c r="I2" s="6">
        <f>STDEV(0.3752,0.3901)</f>
        <v>1.0535891039679576E-2</v>
      </c>
      <c r="J2" s="5">
        <f>AVERAGE(0.3623,0.4636)</f>
        <v>0.41295000000000004</v>
      </c>
      <c r="K2" s="6">
        <f>STDEV(0.3623,0.4636)</f>
        <v>7.1629916934196847E-2</v>
      </c>
      <c r="L2" s="5">
        <f>AVERAGE(0.3856,0.3875)</f>
        <v>0.38655</v>
      </c>
      <c r="M2" s="6">
        <f>STDEV(0.3856,0.3875)</f>
        <v>1.3435028842544493E-3</v>
      </c>
      <c r="N2" s="5">
        <f>AVERAGE(0.4739,0.4146)</f>
        <v>0.44425000000000003</v>
      </c>
      <c r="O2" s="6">
        <f>STDEV(0.4739,0.4146)</f>
        <v>4.193143212436224E-2</v>
      </c>
    </row>
    <row r="3" spans="1:15" x14ac:dyDescent="0.2">
      <c r="A3" s="1" t="s">
        <v>8</v>
      </c>
      <c r="B3" s="5">
        <f>AVERAGE(0.3856,0.4101)</f>
        <v>0.39785000000000004</v>
      </c>
      <c r="C3" s="6">
        <f>STDEV(0.3856,0.4101)</f>
        <v>1.7324116139070429E-2</v>
      </c>
      <c r="D3" s="5">
        <f>AVERAGE(0.4523,0.4178)</f>
        <v>0.43504999999999999</v>
      </c>
      <c r="E3" s="6">
        <f>STDEV(0.4523,0.4178)</f>
        <v>2.4395183950935873E-2</v>
      </c>
      <c r="F3" s="5">
        <f>AVERAGE(0.362,0.4494)</f>
        <v>0.40570000000000001</v>
      </c>
      <c r="G3" s="6">
        <f>STDEV(0.362,0.4494)</f>
        <v>6.1801132675704119E-2</v>
      </c>
      <c r="H3" s="5">
        <f>AVERAGE(0.3839,0.4478)</f>
        <v>0.41585</v>
      </c>
      <c r="I3" s="6">
        <f>STDEV(0.3839,0.4478)</f>
        <v>4.5184123317820353E-2</v>
      </c>
      <c r="J3" s="5">
        <f>AVERAGE(0.3565,0.4626)</f>
        <v>0.40954999999999997</v>
      </c>
      <c r="K3" s="6">
        <f>STDEV(0.3565,0.4626)</f>
        <v>7.5024029483892751E-2</v>
      </c>
      <c r="L3" s="5">
        <f>AVERAGE(0.4126,0.4542)</f>
        <v>0.43340000000000001</v>
      </c>
      <c r="M3" s="6">
        <f>STDEV(0.4126,0.4542)</f>
        <v>2.9415642097360355E-2</v>
      </c>
      <c r="N3" s="5">
        <f>AVERAGE(0.4188,0.4281)</f>
        <v>0.42344999999999999</v>
      </c>
      <c r="O3" s="6">
        <f>STDEV(0.4188,0.4281)</f>
        <v>6.5760930650348741E-3</v>
      </c>
    </row>
    <row r="4" spans="1:15" x14ac:dyDescent="0.2">
      <c r="A4" s="1" t="s">
        <v>9</v>
      </c>
      <c r="B4" s="5">
        <f>AVERAGE(0.4333,0.4017)</f>
        <v>0.41749999999999998</v>
      </c>
      <c r="C4" s="6">
        <f>STDEV(0.4333,0.4017)</f>
        <v>2.2344574285494915E-2</v>
      </c>
      <c r="D4" s="5">
        <f>AVERAGE(0.383,0.5919)</f>
        <v>0.48744999999999999</v>
      </c>
      <c r="E4" s="6">
        <f>STDEV(0.383,0.5919)</f>
        <v>0.14771460658986985</v>
      </c>
      <c r="F4" s="5">
        <f>AVERAGE(0.3707,0.432)</f>
        <v>0.40134999999999998</v>
      </c>
      <c r="G4" s="6">
        <f>STDEV(0.3707,0.432)</f>
        <v>4.3345645686735379E-2</v>
      </c>
      <c r="H4" s="5">
        <f>AVERAGE(0.6289,0.412)</f>
        <v>0.52044999999999997</v>
      </c>
      <c r="I4" s="6">
        <f>STDEV(0.6289,0.412)</f>
        <v>0.15337146083936226</v>
      </c>
      <c r="J4" s="5">
        <f>AVERAGE(0.6396,0.4894)</f>
        <v>0.5645</v>
      </c>
      <c r="K4" s="6">
        <f>STDEV(0.6396,0.4894)</f>
        <v>0.10620743853421918</v>
      </c>
      <c r="L4" s="5">
        <f>AVERAGE(0.6202,0.57)</f>
        <v>0.59509999999999996</v>
      </c>
      <c r="M4" s="6">
        <f>STDEV(0.6202,0.57)</f>
        <v>3.5496760415564703E-2</v>
      </c>
      <c r="N4" s="5">
        <f>AVERAGE(0.4552,0.5435)</f>
        <v>0.49934999999999996</v>
      </c>
      <c r="O4" s="6">
        <f>STDEV(0.4552,0.5435)</f>
        <v>6.2437528778772136E-2</v>
      </c>
    </row>
    <row r="5" spans="1:15" x14ac:dyDescent="0.2">
      <c r="A5" s="1" t="s">
        <v>10</v>
      </c>
      <c r="B5" s="5" t="s">
        <v>12</v>
      </c>
      <c r="C5" s="6" t="s">
        <v>12</v>
      </c>
      <c r="D5" s="5" t="s">
        <v>12</v>
      </c>
      <c r="E5" s="6" t="s">
        <v>12</v>
      </c>
      <c r="F5" s="5" t="s">
        <v>12</v>
      </c>
      <c r="G5" s="6" t="s">
        <v>12</v>
      </c>
      <c r="H5" s="5" t="s">
        <v>12</v>
      </c>
      <c r="I5" s="6" t="s">
        <v>12</v>
      </c>
      <c r="J5" s="5" t="s">
        <v>12</v>
      </c>
      <c r="K5" s="6" t="s">
        <v>12</v>
      </c>
      <c r="L5" s="5" t="s">
        <v>12</v>
      </c>
      <c r="M5" s="6" t="s">
        <v>12</v>
      </c>
      <c r="N5" s="5" t="s">
        <v>12</v>
      </c>
      <c r="O5" s="8" t="s">
        <v>12</v>
      </c>
    </row>
    <row r="6" spans="1:15" x14ac:dyDescent="0.2">
      <c r="A6" s="1" t="s">
        <v>11</v>
      </c>
      <c r="B6" s="5">
        <f>AVERAGE(0.5745,0.5822)</f>
        <v>0.57835000000000003</v>
      </c>
      <c r="C6" s="6">
        <f>STDEV(0.5745,0.5822)</f>
        <v>5.4447222151364442E-3</v>
      </c>
      <c r="D6" s="5">
        <f>AVERAGE(0.5906,0.5642)</f>
        <v>0.57740000000000002</v>
      </c>
      <c r="E6" s="6">
        <f>STDEV(0.5906,0.5642)</f>
        <v>1.8667619023324838E-2</v>
      </c>
      <c r="F6" s="5">
        <f>AVERAGE(0.5255,0.5809)</f>
        <v>0.55319999999999991</v>
      </c>
      <c r="G6" s="6">
        <f>STDEV(0.5255,0.5809)</f>
        <v>3.9173715677734734E-2</v>
      </c>
      <c r="H6" s="5">
        <f>AVERAGE(0.5345,0.5706)</f>
        <v>0.55254999999999999</v>
      </c>
      <c r="I6" s="6">
        <f>STDEV(0.5345,0.5706)</f>
        <v>2.5526554800834381E-2</v>
      </c>
      <c r="J6" s="5">
        <f>AVERAGE(0.5164,0.5583)</f>
        <v>0.53734999999999999</v>
      </c>
      <c r="K6" s="6">
        <f>STDEV(0.5164,0.5583)</f>
        <v>2.9627774131716376E-2</v>
      </c>
      <c r="L6" s="5">
        <f>AVERAGE(0.5145,0.5648)</f>
        <v>0.53964999999999996</v>
      </c>
      <c r="M6" s="6">
        <f>STDEV(0.5145,0.5648)</f>
        <v>3.5567471093683349E-2</v>
      </c>
      <c r="N6" s="5">
        <f>AVERAGE(0.5139,0.5661)</f>
        <v>0.54</v>
      </c>
      <c r="O6" s="6">
        <f>STDEV(0.5139,0.5661)</f>
        <v>3.69109739779378E-2</v>
      </c>
    </row>
    <row r="7" spans="1:15" x14ac:dyDescent="0.2">
      <c r="B7" s="3">
        <f>B6+0.03</f>
        <v>0.60835000000000006</v>
      </c>
      <c r="C7" s="3"/>
      <c r="D7" s="3">
        <f t="shared" ref="C7:O7" si="0">D6+0.03</f>
        <v>0.60740000000000005</v>
      </c>
      <c r="E7" s="3"/>
      <c r="F7" s="3">
        <f t="shared" si="0"/>
        <v>0.58319999999999994</v>
      </c>
      <c r="G7" s="3"/>
      <c r="H7" s="3">
        <f t="shared" si="0"/>
        <v>0.58255000000000001</v>
      </c>
      <c r="I7" s="3"/>
      <c r="J7" s="3">
        <f t="shared" si="0"/>
        <v>0.56735000000000002</v>
      </c>
      <c r="K7" s="3"/>
      <c r="L7" s="3">
        <f t="shared" si="0"/>
        <v>0.56964999999999999</v>
      </c>
      <c r="M7" s="6"/>
      <c r="N7" s="3">
        <f t="shared" si="0"/>
        <v>0.57000000000000006</v>
      </c>
      <c r="O7" s="7"/>
    </row>
    <row r="8" spans="1:15" x14ac:dyDescent="0.2">
      <c r="M8" s="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Group2</vt:lpstr>
      <vt:lpstr>Group3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2023-07-20T12:34:35Z</dcterms:created>
  <dcterms:modified xsi:type="dcterms:W3CDTF">2023-09-16T03:43:04Z</dcterms:modified>
</cp:coreProperties>
</file>